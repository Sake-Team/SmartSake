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/Users/nataliecupples/Downloads/"/>
    </mc:Choice>
  </mc:AlternateContent>
  <xr:revisionPtr revIDLastSave="23" documentId="13_ncr:1_{70348678-41CE-6D40-8A08-C5B36BD07B2A}" xr6:coauthVersionLast="47" xr6:coauthVersionMax="47" xr10:uidLastSave="{C9C06530-5292-4E25-B5EB-0531D1BD158B}"/>
  <bookViews>
    <workbookView xWindow="5640" yWindow="700" windowWidth="22980" windowHeight="14920" activeTab="1" xr2:uid="{00000000-000D-0000-FFFF-FFFF00000000}"/>
  </bookViews>
  <sheets>
    <sheet name="BOM Spring 26 RPi Version" sheetId="8" r:id="rId1"/>
    <sheet name="BOM for poster" sheetId="10" r:id="rId2"/>
    <sheet name="Sheet1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0" l="1"/>
  <c r="H17" i="10"/>
  <c r="H16" i="10"/>
  <c r="H15" i="10"/>
  <c r="H14" i="10"/>
  <c r="H13" i="10"/>
  <c r="H12" i="10"/>
  <c r="H11" i="10"/>
  <c r="H10" i="10"/>
  <c r="H9" i="10"/>
  <c r="H8" i="10"/>
  <c r="H7" i="10"/>
  <c r="H6" i="10"/>
  <c r="H20" i="10" s="1"/>
  <c r="H22" i="10" s="1"/>
  <c r="H7" i="8"/>
  <c r="H8" i="8"/>
  <c r="H9" i="8"/>
  <c r="H10" i="8"/>
  <c r="H11" i="8"/>
  <c r="H12" i="8"/>
  <c r="H13" i="8"/>
  <c r="H14" i="8"/>
  <c r="H15" i="8"/>
  <c r="H16" i="8"/>
  <c r="H17" i="8"/>
  <c r="H18" i="8"/>
  <c r="H6" i="8"/>
  <c r="H20" i="8" s="1"/>
  <c r="H22" i="8" s="1"/>
</calcChain>
</file>

<file path=xl/sharedStrings.xml><?xml version="1.0" encoding="utf-8"?>
<sst xmlns="http://schemas.openxmlformats.org/spreadsheetml/2006/main" count="228" uniqueCount="83">
  <si>
    <t>Bill of Materials</t>
  </si>
  <si>
    <t>Project:</t>
  </si>
  <si>
    <t>Sake Table</t>
  </si>
  <si>
    <t>Academic Year:</t>
  </si>
  <si>
    <t>2025-2026</t>
  </si>
  <si>
    <t>Last Revised</t>
  </si>
  <si>
    <t>Team Members:</t>
  </si>
  <si>
    <t>Benjamin Lin, Anastasia Myers, Makenna Hull, Natalie Cupples</t>
  </si>
  <si>
    <t>Revision of Form:</t>
  </si>
  <si>
    <t>Initials</t>
  </si>
  <si>
    <t>NC</t>
  </si>
  <si>
    <t>Item</t>
  </si>
  <si>
    <t>Manufacturer</t>
  </si>
  <si>
    <t>Manufacturer Part #</t>
  </si>
  <si>
    <t>Qty</t>
  </si>
  <si>
    <t>Unit</t>
  </si>
  <si>
    <t>Unit Cost</t>
  </si>
  <si>
    <t>Total Price</t>
  </si>
  <si>
    <t>Supplier</t>
  </si>
  <si>
    <t>Column5</t>
  </si>
  <si>
    <t>Supplier Part #</t>
  </si>
  <si>
    <t>Link to Order</t>
  </si>
  <si>
    <t>Column1</t>
  </si>
  <si>
    <t>Column3</t>
  </si>
  <si>
    <t>Column32</t>
  </si>
  <si>
    <t>Load Cells</t>
  </si>
  <si>
    <t>TE Connectivity</t>
  </si>
  <si>
    <t>FX293X-100A-0100-L</t>
  </si>
  <si>
    <t>Each</t>
  </si>
  <si>
    <t>DigiKey</t>
  </si>
  <si>
    <t>223-FX29K0-100A-0100-L-ND</t>
  </si>
  <si>
    <t>Load Cells (max 100 lb)</t>
  </si>
  <si>
    <t>Box Fan</t>
  </si>
  <si>
    <t>Lasko</t>
  </si>
  <si>
    <t>B20201</t>
  </si>
  <si>
    <t>Home Depot</t>
  </si>
  <si>
    <t>Type K Thermocouples</t>
  </si>
  <si>
    <t>Adafruit</t>
  </si>
  <si>
    <t>1188-SNS-TMP-DS18B20-MAXIM-ND</t>
  </si>
  <si>
    <t>Raspberry Pi 4 Model B</t>
  </si>
  <si>
    <t>Raspberry Pi</t>
  </si>
  <si>
    <t>SC0194(9)</t>
  </si>
  <si>
    <t>2648-SC0194(9)-ND</t>
  </si>
  <si>
    <t>Raspberry Pi Model 4B</t>
  </si>
  <si>
    <t>24" HDMI Monitor</t>
  </si>
  <si>
    <t>LG Electronics</t>
  </si>
  <si>
    <t>24U41YA-B</t>
  </si>
  <si>
    <t>Best Buy</t>
  </si>
  <si>
    <t>Monitor</t>
  </si>
  <si>
    <t>Dehumidifier</t>
  </si>
  <si>
    <t>Energy Star</t>
  </si>
  <si>
    <t>VGE033A3BS</t>
  </si>
  <si>
    <t>Vellgoo</t>
  </si>
  <si>
    <t>Load Cell Amplifier</t>
  </si>
  <si>
    <t>Avia Semiconductor</t>
  </si>
  <si>
    <t>HX711</t>
  </si>
  <si>
    <t>SparkFun Electronics</t>
  </si>
  <si>
    <t>SEN-13879</t>
  </si>
  <si>
    <t>Amplifiers</t>
  </si>
  <si>
    <t>Humidity and Temperature Sensor</t>
  </si>
  <si>
    <t>DFRobot</t>
  </si>
  <si>
    <t>SEN0137</t>
  </si>
  <si>
    <t>1528-4099-ND</t>
  </si>
  <si>
    <t>Humidity Sensor</t>
  </si>
  <si>
    <t>HDMI Cable</t>
  </si>
  <si>
    <t>SC0546</t>
  </si>
  <si>
    <t>2648-SC0546-ND</t>
  </si>
  <si>
    <t>8 Channel Relay Module</t>
  </si>
  <si>
    <t>SunFounder</t>
  </si>
  <si>
    <t>TS0012</t>
  </si>
  <si>
    <t>4411-TS0012-ND</t>
  </si>
  <si>
    <t>Relay Module</t>
  </si>
  <si>
    <t>Raspberry Pi Power Supply</t>
  </si>
  <si>
    <t>SC1412</t>
  </si>
  <si>
    <t>2648-SC1412-ND</t>
  </si>
  <si>
    <t>Power Supply</t>
  </si>
  <si>
    <t>Breakout Board</t>
  </si>
  <si>
    <t>Thermocouple Amplifier</t>
  </si>
  <si>
    <t>MAX31850K</t>
  </si>
  <si>
    <t>Thermocouple Amplifiers</t>
  </si>
  <si>
    <t>Total</t>
  </si>
  <si>
    <t xml:space="preserve">Total </t>
  </si>
  <si>
    <t>what we'll spend if we get a monitor and only buy four fans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</si>
</sst>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4"/>
      <color rgb="FF0033A0"/>
      <name val="Calibri Light"/>
      <family val="2"/>
      <scheme val="maj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.8"/>
      <name val="Calibri (Body)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 (Body)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1C9E8"/>
        <bgColor indexed="64"/>
      </patternFill>
    </fill>
    <fill>
      <patternFill patternType="solid">
        <fgColor rgb="FFC2D3ED"/>
        <bgColor rgb="FFC2D3ED"/>
      </patternFill>
    </fill>
    <fill>
      <patternFill patternType="solid">
        <fgColor theme="0"/>
        <bgColor rgb="FFC2D3ED"/>
      </patternFill>
    </fill>
  </fills>
  <borders count="10">
    <border>
      <left/>
      <right/>
      <top/>
      <bottom/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/>
      <right/>
      <top/>
      <bottom style="thin">
        <color theme="2" tint="-0.249977111117893"/>
      </bottom>
      <diagonal/>
    </border>
    <border>
      <left/>
      <right/>
      <top style="medium">
        <color rgb="FF0033A0"/>
      </top>
      <bottom style="medium">
        <color rgb="FF0033A0"/>
      </bottom>
      <diagonal/>
    </border>
    <border>
      <left/>
      <right/>
      <top/>
      <bottom style="medium">
        <color rgb="FF0033A0"/>
      </bottom>
      <diagonal/>
    </border>
    <border>
      <left style="thin">
        <color theme="4" tint="0.39997558519241921"/>
      </left>
      <right/>
      <top style="medium">
        <color rgb="FF0033A0"/>
      </top>
      <bottom style="medium">
        <color rgb="FF0033A0"/>
      </bottom>
      <diagonal/>
    </border>
    <border>
      <left/>
      <right/>
      <top style="medium">
        <color rgb="FF0033A0"/>
      </top>
      <bottom/>
      <diagonal/>
    </border>
    <border>
      <left/>
      <right style="thin">
        <color theme="4" tint="0.39997558519241921"/>
      </right>
      <top/>
      <bottom style="medium">
        <color rgb="FF0033A0"/>
      </bottom>
      <diagonal/>
    </border>
    <border>
      <left/>
      <right/>
      <top style="thin">
        <color rgb="FF0065D5"/>
      </top>
      <bottom style="thin">
        <color rgb="FF0065D5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vertical="center"/>
    </xf>
    <xf numFmtId="44" fontId="2" fillId="0" borderId="0" xfId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4" fontId="2" fillId="0" borderId="0" xfId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4" fillId="2" borderId="5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44" fontId="5" fillId="0" borderId="3" xfId="1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44" fontId="5" fillId="0" borderId="1" xfId="1" applyFont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44" fontId="5" fillId="0" borderId="2" xfId="1" applyFont="1" applyBorder="1" applyAlignment="1">
      <alignment horizontal="right" vertical="center"/>
    </xf>
    <xf numFmtId="0" fontId="4" fillId="2" borderId="6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center" vertical="center" wrapText="1"/>
    </xf>
    <xf numFmtId="14" fontId="6" fillId="2" borderId="8" xfId="0" applyNumberFormat="1" applyFont="1" applyFill="1" applyBorder="1" applyAlignment="1">
      <alignment horizontal="center" vertical="center" wrapText="1"/>
    </xf>
    <xf numFmtId="0" fontId="4" fillId="2" borderId="5" xfId="1" applyNumberFormat="1" applyFont="1" applyFill="1" applyBorder="1" applyAlignment="1">
      <alignment vertical="center" wrapText="1"/>
    </xf>
    <xf numFmtId="44" fontId="5" fillId="0" borderId="1" xfId="0" applyNumberFormat="1" applyFont="1" applyBorder="1" applyAlignment="1">
      <alignment horizontal="right" vertical="center"/>
    </xf>
    <xf numFmtId="14" fontId="6" fillId="2" borderId="4" xfId="0" applyNumberFormat="1" applyFont="1" applyFill="1" applyBorder="1" applyAlignment="1">
      <alignment horizontal="right" vertical="center" wrapText="1"/>
    </xf>
    <xf numFmtId="0" fontId="9" fillId="0" borderId="2" xfId="0" applyFont="1" applyBorder="1" applyAlignment="1">
      <alignment vertical="center"/>
    </xf>
    <xf numFmtId="14" fontId="6" fillId="2" borderId="4" xfId="0" applyNumberFormat="1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right" vertical="center"/>
    </xf>
    <xf numFmtId="44" fontId="11" fillId="3" borderId="9" xfId="0" applyNumberFormat="1" applyFont="1" applyFill="1" applyBorder="1" applyAlignment="1">
      <alignment horizontal="right" vertical="center"/>
    </xf>
    <xf numFmtId="0" fontId="11" fillId="3" borderId="9" xfId="0" applyFont="1" applyFill="1" applyBorder="1" applyAlignment="1">
      <alignment vertical="center"/>
    </xf>
    <xf numFmtId="0" fontId="11" fillId="0" borderId="9" xfId="0" applyFont="1" applyBorder="1" applyAlignment="1">
      <alignment horizontal="right" vertical="center"/>
    </xf>
    <xf numFmtId="44" fontId="11" fillId="0" borderId="9" xfId="0" applyNumberFormat="1" applyFont="1" applyBorder="1" applyAlignment="1">
      <alignment horizontal="right" vertical="center"/>
    </xf>
    <xf numFmtId="0" fontId="11" fillId="0" borderId="9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44" fontId="7" fillId="0" borderId="1" xfId="2" applyNumberFormat="1" applyBorder="1" applyAlignment="1">
      <alignment horizontal="right" vertical="center"/>
    </xf>
    <xf numFmtId="8" fontId="5" fillId="0" borderId="1" xfId="1" applyNumberFormat="1" applyFont="1" applyBorder="1" applyAlignment="1">
      <alignment vertical="center"/>
    </xf>
    <xf numFmtId="0" fontId="7" fillId="0" borderId="0" xfId="2" applyAlignment="1">
      <alignment vertical="center"/>
    </xf>
    <xf numFmtId="0" fontId="7" fillId="0" borderId="0" xfId="2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13" fillId="0" borderId="0" xfId="0" applyFont="1"/>
    <xf numFmtId="0" fontId="5" fillId="0" borderId="0" xfId="0" applyFont="1"/>
    <xf numFmtId="0" fontId="11" fillId="4" borderId="9" xfId="0" applyFont="1" applyFill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8" fontId="5" fillId="0" borderId="2" xfId="0" applyNumberFormat="1" applyFont="1" applyBorder="1" applyAlignment="1">
      <alignment horizontal="right" vertical="center"/>
    </xf>
    <xf numFmtId="0" fontId="8" fillId="0" borderId="0" xfId="2" applyFont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44" fontId="8" fillId="0" borderId="1" xfId="2" applyNumberFormat="1" applyFont="1" applyBorder="1" applyAlignment="1">
      <alignment horizontal="left" vertical="center"/>
    </xf>
    <xf numFmtId="8" fontId="5" fillId="0" borderId="1" xfId="0" applyNumberFormat="1" applyFont="1" applyBorder="1" applyAlignment="1">
      <alignment horizontal="right" vertical="center"/>
    </xf>
    <xf numFmtId="8" fontId="5" fillId="0" borderId="1" xfId="0" applyNumberFormat="1" applyFont="1" applyBorder="1" applyAlignment="1">
      <alignment vertical="center"/>
    </xf>
    <xf numFmtId="0" fontId="6" fillId="2" borderId="4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horizontal="left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border outline="0">
        <bottom style="medium">
          <color rgb="FF0033A0"/>
        </bottom>
      </border>
    </dxf>
    <dxf>
      <border outline="0">
        <top style="medium">
          <color rgb="FF0033A0"/>
        </top>
        <bottom style="thin">
          <color rgb="FF0065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B1C9E8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border outline="0">
        <bottom style="medium">
          <color rgb="FF0033A0"/>
        </bottom>
      </border>
    </dxf>
    <dxf>
      <border outline="0">
        <top style="medium">
          <color rgb="FF0033A0"/>
        </top>
        <bottom style="thin">
          <color rgb="FF0065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B1C9E8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33A0"/>
      <color rgb="FFB1C9E8"/>
      <color rgb="FF4CBC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FB55CF-34C9-4D87-918F-540F0B022677}" name="Table142" displayName="Table142" ref="B5:O24" totalsRowShown="0" headerRowDxfId="35" dataDxfId="34" headerRowBorderDxfId="32" tableBorderDxfId="33">
  <tableColumns count="14">
    <tableColumn id="1" xr3:uid="{A9BB20BF-68C0-41E6-B2A5-168818AE342B}" name="Item" dataDxfId="31"/>
    <tableColumn id="2" xr3:uid="{59D06F52-BFFD-4E4D-BF91-19366D5845FE}" name="Manufacturer" dataDxfId="30"/>
    <tableColumn id="3" xr3:uid="{3B4F2C1C-B43B-475F-A381-D1592380311D}" name="Manufacturer Part #" dataDxfId="29"/>
    <tableColumn id="13" xr3:uid="{21D9BEE0-65AC-4597-9962-50326F9D4CE6}" name="Qty" dataDxfId="28"/>
    <tableColumn id="4" xr3:uid="{3A1A2F06-4117-4919-9D0F-4DD506CF4845}" name="Unit" dataDxfId="27"/>
    <tableColumn id="5" xr3:uid="{EC0E545D-5903-45F2-9CA7-744387D38B7A}" name="Unit Cost" dataDxfId="26"/>
    <tableColumn id="6" xr3:uid="{35733EB6-262B-4CDB-81F5-E47FB96B9BF6}" name="Total Price" dataDxfId="25">
      <calculatedColumnFormula>Table142[[#This Row],[Qty]]*G6</calculatedColumnFormula>
    </tableColumn>
    <tableColumn id="7" xr3:uid="{2BF0C416-D714-4A83-8EEB-EFB2AB0117A9}" name="Supplier" dataDxfId="24"/>
    <tableColumn id="8" xr3:uid="{470F780F-B0C0-4D19-99AD-B55A28EB5762}" name="Column5" dataDxfId="23" dataCellStyle="Currency"/>
    <tableColumn id="9" xr3:uid="{EF64D5AB-6974-4869-8D5C-4E653FFB140E}" name="Supplier Part #" dataDxfId="22" dataCellStyle="Currency">
      <calculatedColumnFormula>Table142[[#This Row],[Total Price]]*Table142[[#This Row],[Column5]]</calculatedColumnFormula>
    </tableColumn>
    <tableColumn id="10" xr3:uid="{CA63F958-AF3E-4617-BED3-9ABE4239C473}" name="Link to Order" dataDxfId="21"/>
    <tableColumn id="11" xr3:uid="{A34961F0-F89E-472D-B50F-74D30DAA3651}" name="Column1" dataDxfId="20"/>
    <tableColumn id="12" xr3:uid="{9A52AA86-C8ED-4CD8-9256-3B06EF246B25}" name="Column3" dataDxfId="19"/>
    <tableColumn id="14" xr3:uid="{F3C270E8-AB3C-4C6D-9DEC-A341F97D13FE}" name="Column32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39E97B-59C8-4543-8D3D-3A448CA37070}" name="Table1423" displayName="Table1423" ref="B5:O24" totalsRowShown="0" headerRowDxfId="17" dataDxfId="16" headerRowBorderDxfId="14" tableBorderDxfId="15">
  <tableColumns count="14">
    <tableColumn id="1" xr3:uid="{09FDCEA0-0D6D-4695-AC38-D7153A31E297}" name="Item" dataDxfId="13"/>
    <tableColumn id="2" xr3:uid="{D9A9C30A-74B4-4494-BBA6-E29CA3DA37B6}" name="Manufacturer" dataDxfId="12"/>
    <tableColumn id="3" xr3:uid="{26B006B0-7700-4AAE-ABF4-48B17F97FA7F}" name="Manufacturer Part #" dataDxfId="11"/>
    <tableColumn id="13" xr3:uid="{C9BE75CA-68D1-47E3-9F8C-D7D4C0CCF8AC}" name="Qty" dataDxfId="10"/>
    <tableColumn id="4" xr3:uid="{10CAFC19-E1C8-4BC8-8DC0-EFBF9831285A}" name="Unit" dataDxfId="9"/>
    <tableColumn id="5" xr3:uid="{A407162A-B7B7-481E-B6A1-5A30EA88061A}" name="Unit Cost" dataDxfId="8"/>
    <tableColumn id="6" xr3:uid="{6780EF9E-B9D0-4EF2-914A-33AC25DB40FA}" name="Total Price" dataDxfId="7">
      <calculatedColumnFormula>Table1423[[#This Row],[Qty]]*G6</calculatedColumnFormula>
    </tableColumn>
    <tableColumn id="7" xr3:uid="{C79DF2BE-9881-4678-9454-D117FB461CF8}" name="Supplier" dataDxfId="6"/>
    <tableColumn id="8" xr3:uid="{2480E59F-485C-4368-862B-4289EF9663B8}" name="Column5" dataDxfId="5" dataCellStyle="Currency"/>
    <tableColumn id="9" xr3:uid="{AD8D1552-1C5B-427C-B162-A4D48BEA874A}" name="Supplier Part #" dataDxfId="4" dataCellStyle="Currency">
      <calculatedColumnFormula>Table1423[[#This Row],[Total Price]]*Table1423[[#This Row],[Column5]]</calculatedColumnFormula>
    </tableColumn>
    <tableColumn id="10" xr3:uid="{7F79DDA1-DCC4-47CD-BE0D-A6653D20867C}" name="Link to Order" dataDxfId="3"/>
    <tableColumn id="11" xr3:uid="{801FB1D4-4C60-4826-A1B6-B61EEC4D55EA}" name="Column1" dataDxfId="2"/>
    <tableColumn id="12" xr3:uid="{C1E79A59-7B84-4712-803F-AFA1C6B4DB90}" name="Column3" dataDxfId="1"/>
    <tableColumn id="14" xr3:uid="{7602B8FC-109D-4464-A3A3-DF0F7866C40D}" name="Column3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UK Color Scheme">
      <a:dk1>
        <a:sysClr val="windowText" lastClr="000000"/>
      </a:dk1>
      <a:lt1>
        <a:sysClr val="window" lastClr="FFFFFF"/>
      </a:lt1>
      <a:dk2>
        <a:srgbClr val="0033A0"/>
      </a:dk2>
      <a:lt2>
        <a:srgbClr val="1E8AFF"/>
      </a:lt2>
      <a:accent1>
        <a:srgbClr val="1B365D"/>
      </a:accent1>
      <a:accent2>
        <a:srgbClr val="4CBCC0"/>
      </a:accent2>
      <a:accent3>
        <a:srgbClr val="FFDC00"/>
      </a:accent3>
      <a:accent4>
        <a:srgbClr val="FFA360"/>
      </a:accent4>
      <a:accent5>
        <a:srgbClr val="B1C9E8"/>
      </a:accent5>
      <a:accent6>
        <a:srgbClr val="D6D2C4"/>
      </a:accent6>
      <a:hlink>
        <a:srgbClr val="1E8AFF"/>
      </a:hlink>
      <a:folHlink>
        <a:srgbClr val="B1C9E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arkfun.com/sparkfun-load-cell-amplifier-hx711.html" TargetMode="External"/><Relationship Id="rId13" Type="http://schemas.openxmlformats.org/officeDocument/2006/relationships/hyperlink" Target="https://www.homedepot.com/p/Lasko-20-in-3-Speed-Air-Circulating-Box-Fan-for-Home-in-White-with-Save-Smart-Technology-1820-CFM-and-Carry-Handle-B20201/203072133" TargetMode="External"/><Relationship Id="rId3" Type="http://schemas.openxmlformats.org/officeDocument/2006/relationships/hyperlink" Target="https://www.digikey.com/en/products/detail/sunfounder/TS0012/18668607?s=N4IgTCBcDaICoGUAMSCMEC6BfIA" TargetMode="External"/><Relationship Id="rId7" Type="http://schemas.openxmlformats.org/officeDocument/2006/relationships/hyperlink" Target="https://www.bestbuy.com/product/lg-24-ips-fhd-120hz-monitor-with-hdr10-hdmi-black/JJ8VPZKPZZ" TargetMode="External"/><Relationship Id="rId12" Type="http://schemas.openxmlformats.org/officeDocument/2006/relationships/hyperlink" Target="https://www.digikey.com/en/products/detail/sunfounder/TS0012/18668607?s=N4IgTCBcDaICoGUAMSCMEC6BfIA" TargetMode="External"/><Relationship Id="rId2" Type="http://schemas.openxmlformats.org/officeDocument/2006/relationships/hyperlink" Target="https://www.digikey.com/en/products/detail/adafruit-industries-llc/4099/10230011?gclsrc=aw.ds&amp;gad_source=1&amp;gad_campaignid=20232005509&amp;gbraid=0AAAAADrbLlg_yLl2IXXumuu4V5q8zg7ZZ&amp;gclid=CjwKCAiAs4HMBhBJEiwACrfNZRlenaACTgl9zPXh0VbLXB4ok1t47HIPKAaJBmsWSgFgHNetcZPVQRoCn7MQAvD_BwE" TargetMode="External"/><Relationship Id="rId1" Type="http://schemas.openxmlformats.org/officeDocument/2006/relationships/hyperlink" Target="https://www.digikey.com/en/products/detail/raspberry-pi/SC0194-9/10258781" TargetMode="External"/><Relationship Id="rId6" Type="http://schemas.openxmlformats.org/officeDocument/2006/relationships/hyperlink" Target="https://vellgoo.com/products/4-500-sq-ft-energy-star-dehumidifier-for-basement-with-drain-hose-52-pint-drytank-series-dehumidifiers-for-home-large-room-intelligent-humidity-control" TargetMode="External"/><Relationship Id="rId11" Type="http://schemas.openxmlformats.org/officeDocument/2006/relationships/hyperlink" Target="https://www.newark.com/te-connectivity/fx293x-100a-0100-l/load-cell-100lbf-5-25v-0-to-50deg/dp/40AH0491?CMP=KNC-GUSA-GEN-PMAX-Shopping-New&amp;mckv=_dc%7Cpcrid%7C%7Cplid%7C%7Ckword%7C%7Cmatch%7C%7Cslid%7C%7Cproduct%7C40AH0491%7Cpgrid%7C%7Cptaid%7C%7C&amp;gad_source=1&amp;gad_campaignid=21110543169&amp;gbraid=0AAAAAD5U_g2z0dCV9Iat6bFBqPiVjU_oD&amp;gclid=Cj0KCQiAnJHMBhDAARIsABr7b85LKAuSX_ESGbIfP_DM4eadGPQtfjMOJaTtWf_Wn5PojdcdvBA1JP8aAgEIEALw_wcB" TargetMode="External"/><Relationship Id="rId5" Type="http://schemas.openxmlformats.org/officeDocument/2006/relationships/hyperlink" Target="https://www.homedepot.com/p/Lasko-20-in-3-Speed-Air-Circulating-Box-Fan-for-Home-in-White-with-Save-Smart-Technology-1820-CFM-and-Carry-Handle-B20201/203072133" TargetMode="External"/><Relationship Id="rId10" Type="http://schemas.openxmlformats.org/officeDocument/2006/relationships/hyperlink" Target="https://www.digikey.com/en/products/detail/raspberry-pi/SC1412/10258762?gclsrc=aw.ds&amp;gad_source=1&amp;gad_campaignid=20232005509&amp;gbraid=0AAAAADrbLlgAdqIPP54yLXe0u5zsn76U_&amp;gclid=CjwKCAiA3fnJBhAgEiwAyqmY5euoJ8MrYNvKbtmqjolP6mNUlPFeu_ShdYc28EBH9S9cMcLtZLT9JxoCeNEQAvD_BwE" TargetMode="External"/><Relationship Id="rId4" Type="http://schemas.openxmlformats.org/officeDocument/2006/relationships/hyperlink" Target="https://www.digikey.com/en/products/detail/adafruit-industries-llc/3245/7320194?gclsrc=aw.ds&amp;gad_source=1&amp;gad_campaignid=23410779255&amp;gbraid=0AAAAADrbLlgnB_qennYJaYE9AJJ0mYQTs&amp;gclid=Cj0KCQiAnJHMBhDAARIsABr7b869iuoHQBfbc3WNn-Kq2606aWEdkiOYq6-46qHTf1mlkJQ9_eomvLYaAiKTEALw_wcB" TargetMode="External"/><Relationship Id="rId9" Type="http://schemas.openxmlformats.org/officeDocument/2006/relationships/hyperlink" Target="https://www.digikey.com/en/products/detail/raspberry-pi/SC0546/13901220?gclsrc=aw.ds&amp;gad_source=1&amp;gad_campaignid=20232005509&amp;gbraid=0AAAAADrbLliL8TzXuQg7x9tLNvO4PqNgi&amp;gclid=CjwKCAjwr8LHBhBKEiwAy47uUobVm8tiliLvNoSy7zIJz2XoD2o7EUR73C0TbizSfsf1sYVC73Hu6hoCGPEQAvD_BwE" TargetMode="External"/><Relationship Id="rId1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arkfun.com/sparkfun-load-cell-amplifier-hx711.html" TargetMode="External"/><Relationship Id="rId13" Type="http://schemas.openxmlformats.org/officeDocument/2006/relationships/hyperlink" Target="https://www.homedepot.com/p/Lasko-20-in-3-Speed-Air-Circulating-Box-Fan-for-Home-in-White-with-Save-Smart-Technology-1820-CFM-and-Carry-Handle-B20201/203072133" TargetMode="External"/><Relationship Id="rId3" Type="http://schemas.openxmlformats.org/officeDocument/2006/relationships/hyperlink" Target="https://www.digikey.com/en/products/detail/sunfounder/TS0012/18668607?s=N4IgTCBcDaICoGUAMSCMEC6BfIA" TargetMode="External"/><Relationship Id="rId7" Type="http://schemas.openxmlformats.org/officeDocument/2006/relationships/hyperlink" Target="https://www.bestbuy.com/product/lg-24-ips-fhd-120hz-monitor-with-hdr10-hdmi-black/JJ8VPZKPZZ" TargetMode="External"/><Relationship Id="rId12" Type="http://schemas.openxmlformats.org/officeDocument/2006/relationships/hyperlink" Target="https://www.digikey.com/en/products/detail/sunfounder/TS0012/18668607?s=N4IgTCBcDaICoGUAMSCMEC6BfIA" TargetMode="External"/><Relationship Id="rId2" Type="http://schemas.openxmlformats.org/officeDocument/2006/relationships/hyperlink" Target="https://www.digikey.com/en/products/detail/adafruit-industries-llc/4099/10230011?gclsrc=aw.ds&amp;gad_source=1&amp;gad_campaignid=20232005509&amp;gbraid=0AAAAADrbLlg_yLl2IXXumuu4V5q8zg7ZZ&amp;gclid=CjwKCAiAs4HMBhBJEiwACrfNZRlenaACTgl9zPXh0VbLXB4ok1t47HIPKAaJBmsWSgFgHNetcZPVQRoCn7MQAvD_BwE" TargetMode="External"/><Relationship Id="rId1" Type="http://schemas.openxmlformats.org/officeDocument/2006/relationships/hyperlink" Target="https://www.digikey.com/en/products/detail/raspberry-pi/SC0194-9/10258781" TargetMode="External"/><Relationship Id="rId6" Type="http://schemas.openxmlformats.org/officeDocument/2006/relationships/hyperlink" Target="https://vellgoo.com/products/4-500-sq-ft-energy-star-dehumidifier-for-basement-with-drain-hose-52-pint-drytank-series-dehumidifiers-for-home-large-room-intelligent-humidity-control" TargetMode="External"/><Relationship Id="rId11" Type="http://schemas.openxmlformats.org/officeDocument/2006/relationships/hyperlink" Target="https://www.newark.com/te-connectivity/fx293x-100a-0100-l/load-cell-100lbf-5-25v-0-to-50deg/dp/40AH0491?CMP=KNC-GUSA-GEN-PMAX-Shopping-New&amp;mckv=_dc%7Cpcrid%7C%7Cplid%7C%7Ckword%7C%7Cmatch%7C%7Cslid%7C%7Cproduct%7C40AH0491%7Cpgrid%7C%7Cptaid%7C%7C&amp;gad_source=1&amp;gad_campaignid=21110543169&amp;gbraid=0AAAAAD5U_g2z0dCV9Iat6bFBqPiVjU_oD&amp;gclid=Cj0KCQiAnJHMBhDAARIsABr7b85LKAuSX_ESGbIfP_DM4eadGPQtfjMOJaTtWf_Wn5PojdcdvBA1JP8aAgEIEALw_wcB" TargetMode="External"/><Relationship Id="rId5" Type="http://schemas.openxmlformats.org/officeDocument/2006/relationships/hyperlink" Target="https://www.homedepot.com/p/Lasko-20-in-3-Speed-Air-Circulating-Box-Fan-for-Home-in-White-with-Save-Smart-Technology-1820-CFM-and-Carry-Handle-B20201/203072133" TargetMode="External"/><Relationship Id="rId10" Type="http://schemas.openxmlformats.org/officeDocument/2006/relationships/hyperlink" Target="https://www.digikey.com/en/products/detail/raspberry-pi/SC1412/10258762?gclsrc=aw.ds&amp;gad_source=1&amp;gad_campaignid=20232005509&amp;gbraid=0AAAAADrbLlgAdqIPP54yLXe0u5zsn76U_&amp;gclid=CjwKCAiA3fnJBhAgEiwAyqmY5euoJ8MrYNvKbtmqjolP6mNUlPFeu_ShdYc28EBH9S9cMcLtZLT9JxoCeNEQAvD_BwE" TargetMode="External"/><Relationship Id="rId4" Type="http://schemas.openxmlformats.org/officeDocument/2006/relationships/hyperlink" Target="https://www.digikey.com/en/products/detail/adafruit-industries-llc/3245/7320194?gclsrc=aw.ds&amp;gad_source=1&amp;gad_campaignid=23410779255&amp;gbraid=0AAAAADrbLlgnB_qennYJaYE9AJJ0mYQTs&amp;gclid=Cj0KCQiAnJHMBhDAARIsABr7b869iuoHQBfbc3WNn-Kq2606aWEdkiOYq6-46qHTf1mlkJQ9_eomvLYaAiKTEALw_wcB" TargetMode="External"/><Relationship Id="rId9" Type="http://schemas.openxmlformats.org/officeDocument/2006/relationships/hyperlink" Target="https://www.digikey.com/en/products/detail/raspberry-pi/SC0546/13901220?gclsrc=aw.ds&amp;gad_source=1&amp;gad_campaignid=20232005509&amp;gbraid=0AAAAADrbLliL8TzXuQg7x9tLNvO4PqNgi&amp;gclid=CjwKCAjwr8LHBhBKEiwAy47uUobVm8tiliLvNoSy7zIJz2XoD2o7EUR73C0TbizSfsf1sYVC73Hu6hoCGPEQAvD_BwE" TargetMode="External"/><Relationship Id="rId1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41C3-2F08-4929-962F-E834FFFB1B61}">
  <dimension ref="B2:O28"/>
  <sheetViews>
    <sheetView showGridLines="0" topLeftCell="A2" zoomScale="88" workbookViewId="0">
      <selection activeCell="T6" sqref="T6"/>
    </sheetView>
  </sheetViews>
  <sheetFormatPr defaultColWidth="9.140625" defaultRowHeight="15" customHeight="1"/>
  <cols>
    <col min="1" max="1" width="2.42578125" style="1" customWidth="1"/>
    <col min="2" max="2" width="25.140625" style="1" customWidth="1"/>
    <col min="3" max="3" width="15.42578125" style="1" customWidth="1"/>
    <col min="4" max="4" width="12.140625" style="1" customWidth="1"/>
    <col min="5" max="5" width="4.42578125" style="1" customWidth="1"/>
    <col min="6" max="6" width="14.42578125" style="1" customWidth="1"/>
    <col min="7" max="7" width="9" style="1" customWidth="1"/>
    <col min="8" max="8" width="10.42578125" style="3" bestFit="1" customWidth="1"/>
    <col min="9" max="9" width="15.28515625" style="3" customWidth="1"/>
    <col min="10" max="10" width="0.28515625" style="2" customWidth="1"/>
    <col min="11" max="11" width="27.42578125" style="2" customWidth="1"/>
    <col min="12" max="12" width="20" style="1" customWidth="1"/>
    <col min="13" max="13" width="10.28515625" style="1" customWidth="1"/>
    <col min="14" max="14" width="15.28515625" style="1" customWidth="1"/>
    <col min="15" max="16384" width="9.140625" style="1"/>
  </cols>
  <sheetData>
    <row r="2" spans="2:15" ht="42" customHeight="1">
      <c r="B2" s="5" t="s">
        <v>0</v>
      </c>
      <c r="J2" s="4"/>
      <c r="K2" s="4"/>
    </row>
    <row r="3" spans="2:15" ht="15" customHeight="1">
      <c r="B3" s="15" t="s">
        <v>1</v>
      </c>
      <c r="C3" s="50" t="s">
        <v>2</v>
      </c>
      <c r="D3" s="50"/>
      <c r="E3" s="50"/>
      <c r="F3" s="50"/>
      <c r="G3" s="51" t="s">
        <v>3</v>
      </c>
      <c r="H3" s="52"/>
      <c r="I3" s="18" t="s">
        <v>4</v>
      </c>
      <c r="J3" s="18"/>
      <c r="K3" s="17"/>
      <c r="L3" s="16"/>
      <c r="M3" s="16"/>
      <c r="N3" s="19" t="s">
        <v>5</v>
      </c>
    </row>
    <row r="4" spans="2:15" ht="13.5">
      <c r="B4" s="15" t="s">
        <v>6</v>
      </c>
      <c r="C4" s="53" t="s">
        <v>7</v>
      </c>
      <c r="D4" s="50"/>
      <c r="E4" s="50"/>
      <c r="F4" s="50"/>
      <c r="G4" s="51" t="s">
        <v>8</v>
      </c>
      <c r="H4" s="52"/>
      <c r="I4" s="23">
        <v>46059</v>
      </c>
      <c r="J4" s="25"/>
      <c r="K4" s="18" t="s">
        <v>9</v>
      </c>
      <c r="L4" s="16" t="s">
        <v>10</v>
      </c>
      <c r="M4" s="16"/>
      <c r="N4" s="20">
        <v>46062</v>
      </c>
    </row>
    <row r="5" spans="2:15" ht="33.950000000000003" customHeight="1" thickBot="1"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21" t="s">
        <v>16</v>
      </c>
      <c r="H5" s="21" t="s">
        <v>17</v>
      </c>
      <c r="I5" s="6" t="s">
        <v>18</v>
      </c>
      <c r="J5" s="6" t="s">
        <v>19</v>
      </c>
      <c r="K5" s="6" t="s">
        <v>20</v>
      </c>
      <c r="L5" s="6" t="s">
        <v>21</v>
      </c>
      <c r="M5" s="6" t="s">
        <v>22</v>
      </c>
      <c r="N5" s="6" t="s">
        <v>23</v>
      </c>
      <c r="O5" s="6" t="s">
        <v>24</v>
      </c>
    </row>
    <row r="6" spans="2:15" ht="15" customHeight="1">
      <c r="B6" s="7" t="s">
        <v>25</v>
      </c>
      <c r="C6" s="9" t="s">
        <v>26</v>
      </c>
      <c r="D6" s="39" t="s">
        <v>27</v>
      </c>
      <c r="E6" s="12">
        <v>4</v>
      </c>
      <c r="F6" s="10" t="s">
        <v>28</v>
      </c>
      <c r="G6" s="49">
        <v>24.49</v>
      </c>
      <c r="H6" s="36">
        <f>Table142[[#This Row],[Qty]]*Table142[[#This Row],[Unit Cost]]</f>
        <v>97.96</v>
      </c>
      <c r="I6" s="39" t="s">
        <v>29</v>
      </c>
      <c r="J6" s="11"/>
      <c r="K6" s="40" t="s">
        <v>30</v>
      </c>
      <c r="L6" s="45" t="s">
        <v>31</v>
      </c>
      <c r="M6" s="7"/>
      <c r="N6" s="7"/>
      <c r="O6" s="33"/>
    </row>
    <row r="7" spans="2:15" ht="15" customHeight="1">
      <c r="B7" s="7" t="s">
        <v>32</v>
      </c>
      <c r="C7" s="9" t="s">
        <v>33</v>
      </c>
      <c r="D7" s="39" t="s">
        <v>34</v>
      </c>
      <c r="E7" s="29">
        <v>6</v>
      </c>
      <c r="F7" s="29" t="s">
        <v>28</v>
      </c>
      <c r="G7" s="30">
        <v>26.98</v>
      </c>
      <c r="H7" s="36">
        <f>Table142[[#This Row],[Qty]]*Table142[[#This Row],[Unit Cost]]</f>
        <v>161.88</v>
      </c>
      <c r="I7" s="31" t="s">
        <v>35</v>
      </c>
      <c r="J7" s="11"/>
      <c r="K7" s="39">
        <v>399582</v>
      </c>
      <c r="L7" s="46" t="s">
        <v>32</v>
      </c>
      <c r="M7" s="9"/>
      <c r="N7" s="9"/>
      <c r="O7" s="32"/>
    </row>
    <row r="8" spans="2:15" ht="15" customHeight="1">
      <c r="B8" s="7" t="s">
        <v>36</v>
      </c>
      <c r="C8" s="9" t="s">
        <v>37</v>
      </c>
      <c r="D8" s="39">
        <v>3245</v>
      </c>
      <c r="E8" s="26">
        <v>6</v>
      </c>
      <c r="F8" s="26" t="s">
        <v>28</v>
      </c>
      <c r="G8" s="27">
        <v>9.9499999999999993</v>
      </c>
      <c r="H8" s="36">
        <f>Table142[[#This Row],[Qty]]*Table142[[#This Row],[Unit Cost]]</f>
        <v>59.699999999999996</v>
      </c>
      <c r="I8" s="28" t="s">
        <v>29</v>
      </c>
      <c r="J8" s="11"/>
      <c r="K8" s="9" t="s">
        <v>38</v>
      </c>
      <c r="L8" s="47" t="s">
        <v>36</v>
      </c>
      <c r="M8" s="9"/>
      <c r="N8" s="9"/>
      <c r="O8" s="32"/>
    </row>
    <row r="9" spans="2:15" ht="15" customHeight="1">
      <c r="B9" s="7" t="s">
        <v>39</v>
      </c>
      <c r="C9" s="9" t="s">
        <v>40</v>
      </c>
      <c r="D9" s="39" t="s">
        <v>41</v>
      </c>
      <c r="E9" s="29">
        <v>1</v>
      </c>
      <c r="F9" s="29" t="s">
        <v>28</v>
      </c>
      <c r="G9" s="30">
        <v>75</v>
      </c>
      <c r="H9" s="36">
        <f>Table142[[#This Row],[Qty]]*Table142[[#This Row],[Unit Cost]]</f>
        <v>75</v>
      </c>
      <c r="I9" s="31" t="s">
        <v>29</v>
      </c>
      <c r="J9" s="11"/>
      <c r="K9" s="9" t="s">
        <v>42</v>
      </c>
      <c r="L9" s="47" t="s">
        <v>43</v>
      </c>
      <c r="M9" s="9"/>
      <c r="N9" s="9"/>
      <c r="O9" s="32"/>
    </row>
    <row r="10" spans="2:15" ht="15" customHeight="1">
      <c r="B10" s="7" t="s">
        <v>44</v>
      </c>
      <c r="C10" s="9" t="s">
        <v>45</v>
      </c>
      <c r="D10" s="39" t="s">
        <v>46</v>
      </c>
      <c r="E10" s="26">
        <v>1</v>
      </c>
      <c r="F10" s="26" t="s">
        <v>28</v>
      </c>
      <c r="G10" s="27">
        <v>86.99</v>
      </c>
      <c r="H10" s="36">
        <f>Table142[[#This Row],[Qty]]*Table142[[#This Row],[Unit Cost]]</f>
        <v>86.99</v>
      </c>
      <c r="I10" s="28" t="s">
        <v>47</v>
      </c>
      <c r="J10" s="11"/>
      <c r="K10" s="9" t="s">
        <v>46</v>
      </c>
      <c r="L10" s="46" t="s">
        <v>48</v>
      </c>
      <c r="M10" s="9"/>
      <c r="N10" s="9"/>
      <c r="O10" s="32"/>
    </row>
    <row r="11" spans="2:15" ht="15" customHeight="1">
      <c r="B11" s="12" t="s">
        <v>49</v>
      </c>
      <c r="C11" s="9" t="s">
        <v>50</v>
      </c>
      <c r="D11" s="39" t="s">
        <v>51</v>
      </c>
      <c r="E11" s="29">
        <v>1</v>
      </c>
      <c r="F11" s="29" t="s">
        <v>28</v>
      </c>
      <c r="G11" s="30">
        <v>269.99</v>
      </c>
      <c r="H11" s="36">
        <f>Table142[[#This Row],[Qty]]*Table142[[#This Row],[Unit Cost]]</f>
        <v>269.99</v>
      </c>
      <c r="I11" s="31" t="s">
        <v>52</v>
      </c>
      <c r="J11" s="11"/>
      <c r="K11" s="9" t="s">
        <v>51</v>
      </c>
      <c r="L11" s="46" t="s">
        <v>49</v>
      </c>
      <c r="M11" s="9"/>
      <c r="N11" s="9"/>
      <c r="O11" s="32"/>
    </row>
    <row r="12" spans="2:15" ht="15" customHeight="1">
      <c r="B12" s="12" t="s">
        <v>53</v>
      </c>
      <c r="C12" s="9" t="s">
        <v>54</v>
      </c>
      <c r="D12" s="39" t="s">
        <v>55</v>
      </c>
      <c r="E12" s="26">
        <v>4</v>
      </c>
      <c r="F12" s="26" t="s">
        <v>28</v>
      </c>
      <c r="G12" s="27">
        <v>11.5</v>
      </c>
      <c r="H12" s="36">
        <f>Table142[[#This Row],[Qty]]*Table142[[#This Row],[Unit Cost]]</f>
        <v>46</v>
      </c>
      <c r="I12" s="28" t="s">
        <v>56</v>
      </c>
      <c r="J12" s="11"/>
      <c r="K12" s="9" t="s">
        <v>57</v>
      </c>
      <c r="L12" s="46" t="s">
        <v>58</v>
      </c>
      <c r="M12" s="9"/>
      <c r="N12" s="9"/>
      <c r="O12" s="32"/>
    </row>
    <row r="13" spans="2:15" ht="15" customHeight="1">
      <c r="B13" s="12" t="s">
        <v>59</v>
      </c>
      <c r="C13" s="9" t="s">
        <v>60</v>
      </c>
      <c r="D13" s="39" t="s">
        <v>61</v>
      </c>
      <c r="E13" s="29">
        <v>1</v>
      </c>
      <c r="F13" s="29" t="s">
        <v>28</v>
      </c>
      <c r="G13" s="30">
        <v>24.95</v>
      </c>
      <c r="H13" s="36">
        <f>Table142[[#This Row],[Qty]]*Table142[[#This Row],[Unit Cost]]</f>
        <v>24.95</v>
      </c>
      <c r="I13" s="31" t="s">
        <v>29</v>
      </c>
      <c r="J13" s="11"/>
      <c r="K13" s="41" t="s">
        <v>62</v>
      </c>
      <c r="L13" s="47" t="s">
        <v>63</v>
      </c>
      <c r="M13" s="9"/>
      <c r="N13" s="9"/>
      <c r="O13" s="32"/>
    </row>
    <row r="14" spans="2:15" ht="15" customHeight="1">
      <c r="B14" s="12" t="s">
        <v>64</v>
      </c>
      <c r="C14" s="9" t="s">
        <v>40</v>
      </c>
      <c r="D14" s="39" t="s">
        <v>65</v>
      </c>
      <c r="E14" s="26">
        <v>1</v>
      </c>
      <c r="F14" s="26" t="s">
        <v>28</v>
      </c>
      <c r="G14" s="27">
        <v>5</v>
      </c>
      <c r="H14" s="36">
        <f>Table142[[#This Row],[Qty]]*Table142[[#This Row],[Unit Cost]]</f>
        <v>5</v>
      </c>
      <c r="I14" s="28" t="s">
        <v>29</v>
      </c>
      <c r="J14" s="11"/>
      <c r="K14" s="9" t="s">
        <v>66</v>
      </c>
      <c r="L14" s="46" t="s">
        <v>64</v>
      </c>
      <c r="M14" s="9"/>
      <c r="N14" s="9"/>
      <c r="O14" s="32"/>
    </row>
    <row r="15" spans="2:15" ht="15" customHeight="1">
      <c r="B15" s="12" t="s">
        <v>67</v>
      </c>
      <c r="C15" s="9" t="s">
        <v>68</v>
      </c>
      <c r="D15" s="39" t="s">
        <v>69</v>
      </c>
      <c r="E15" s="29">
        <v>1</v>
      </c>
      <c r="F15" s="29" t="s">
        <v>28</v>
      </c>
      <c r="G15" s="30">
        <v>11.87</v>
      </c>
      <c r="H15" s="36">
        <f>Table142[[#This Row],[Qty]]*Table142[[#This Row],[Unit Cost]]</f>
        <v>11.87</v>
      </c>
      <c r="I15" s="31" t="s">
        <v>29</v>
      </c>
      <c r="J15" s="11"/>
      <c r="K15" s="41" t="s">
        <v>70</v>
      </c>
      <c r="L15" s="47" t="s">
        <v>71</v>
      </c>
      <c r="M15" s="9"/>
      <c r="N15" s="9"/>
      <c r="O15" s="32"/>
    </row>
    <row r="16" spans="2:15" ht="15" customHeight="1">
      <c r="B16" s="12" t="s">
        <v>72</v>
      </c>
      <c r="C16" s="9" t="s">
        <v>40</v>
      </c>
      <c r="D16" s="39" t="s">
        <v>73</v>
      </c>
      <c r="E16" s="26">
        <v>1</v>
      </c>
      <c r="F16" s="26" t="s">
        <v>28</v>
      </c>
      <c r="G16" s="27">
        <v>8</v>
      </c>
      <c r="H16" s="36">
        <f>Table142[[#This Row],[Qty]]*Table142[[#This Row],[Unit Cost]]</f>
        <v>8</v>
      </c>
      <c r="I16" s="28" t="s">
        <v>29</v>
      </c>
      <c r="J16" s="11"/>
      <c r="K16" s="9" t="s">
        <v>74</v>
      </c>
      <c r="L16" s="46" t="s">
        <v>75</v>
      </c>
      <c r="M16" s="9"/>
      <c r="N16" s="9"/>
      <c r="O16" s="32"/>
    </row>
    <row r="17" spans="2:15" ht="15" customHeight="1">
      <c r="B17" s="7" t="s">
        <v>76</v>
      </c>
      <c r="C17" s="9" t="s">
        <v>40</v>
      </c>
      <c r="D17" s="39">
        <v>2711</v>
      </c>
      <c r="E17" s="12">
        <v>1</v>
      </c>
      <c r="F17" s="42" t="s">
        <v>28</v>
      </c>
      <c r="G17" s="36">
        <v>19.95</v>
      </c>
      <c r="H17" s="36">
        <f>Table142[[#This Row],[Qty]]*Table142[[#This Row],[Unit Cost]]</f>
        <v>19.95</v>
      </c>
      <c r="I17" s="9" t="s">
        <v>37</v>
      </c>
      <c r="J17" s="11"/>
      <c r="K17" s="35"/>
      <c r="L17" s="47" t="s">
        <v>76</v>
      </c>
      <c r="M17" s="9"/>
      <c r="N17" s="9"/>
      <c r="O17" s="32"/>
    </row>
    <row r="18" spans="2:15" ht="15" customHeight="1">
      <c r="B18" s="7" t="s">
        <v>77</v>
      </c>
      <c r="C18" s="9" t="s">
        <v>37</v>
      </c>
      <c r="D18" s="43">
        <v>1727</v>
      </c>
      <c r="E18" s="12">
        <v>6</v>
      </c>
      <c r="F18" s="29" t="s">
        <v>28</v>
      </c>
      <c r="G18" s="36">
        <v>14.95</v>
      </c>
      <c r="H18" s="36">
        <f>Table142[[#This Row],[Qty]]*Table142[[#This Row],[Unit Cost]]</f>
        <v>89.699999999999989</v>
      </c>
      <c r="I18" s="9" t="s">
        <v>37</v>
      </c>
      <c r="J18" s="11"/>
      <c r="K18" s="12" t="s">
        <v>78</v>
      </c>
      <c r="L18" s="47" t="s">
        <v>79</v>
      </c>
      <c r="M18" s="9"/>
      <c r="N18" s="9"/>
      <c r="O18" s="32"/>
    </row>
    <row r="19" spans="2:15" ht="20.100000000000001" customHeight="1">
      <c r="B19" s="7"/>
      <c r="C19" s="9"/>
      <c r="D19" s="12"/>
      <c r="E19" s="12"/>
      <c r="F19" s="29"/>
      <c r="G19" s="36"/>
      <c r="H19" s="36"/>
      <c r="I19" s="9"/>
      <c r="J19" s="11"/>
      <c r="K19" s="12"/>
      <c r="L19" s="35"/>
      <c r="M19" s="9"/>
      <c r="N19" s="9"/>
      <c r="O19" s="32"/>
    </row>
    <row r="20" spans="2:15" ht="15" customHeight="1">
      <c r="B20" s="7"/>
      <c r="C20" s="9"/>
      <c r="D20" s="9"/>
      <c r="E20" s="12"/>
      <c r="F20" s="10"/>
      <c r="G20" s="24" t="s">
        <v>80</v>
      </c>
      <c r="H20" s="44">
        <f>SUM(H6:H18)</f>
        <v>956.99</v>
      </c>
      <c r="I20" s="39"/>
      <c r="J20" s="11"/>
      <c r="K20" s="40"/>
      <c r="L20" s="38"/>
      <c r="M20" s="9"/>
      <c r="N20" s="9"/>
      <c r="O20" s="32"/>
    </row>
    <row r="21" spans="2:15" ht="15" customHeight="1">
      <c r="B21" s="9"/>
      <c r="C21" s="9"/>
      <c r="D21" s="9"/>
      <c r="E21" s="12"/>
      <c r="F21" s="9"/>
      <c r="G21" s="9"/>
      <c r="H21" s="22"/>
      <c r="I21" s="10"/>
      <c r="J21" s="11"/>
      <c r="K21" s="11"/>
      <c r="L21" s="9"/>
      <c r="M21" s="9"/>
      <c r="N21" s="9"/>
      <c r="O21" s="32"/>
    </row>
    <row r="22" spans="2:15" ht="15" customHeight="1">
      <c r="B22" s="9"/>
      <c r="C22" s="9"/>
      <c r="D22" s="9"/>
      <c r="E22" s="7"/>
      <c r="F22" s="9"/>
      <c r="G22" s="9" t="s">
        <v>81</v>
      </c>
      <c r="H22" s="48">
        <f>H20-H11-(2*26.98)-H10</f>
        <v>546.04999999999995</v>
      </c>
      <c r="I22" s="10"/>
      <c r="J22" s="11"/>
      <c r="K22" s="8"/>
      <c r="L22" s="9"/>
      <c r="M22" s="9"/>
      <c r="N22" s="9"/>
      <c r="O22" s="32"/>
    </row>
    <row r="23" spans="2:15" ht="15" customHeight="1">
      <c r="B23" s="12"/>
      <c r="C23" s="12"/>
      <c r="D23" s="12"/>
      <c r="E23" s="7"/>
      <c r="F23" s="9"/>
      <c r="G23" s="24" t="s">
        <v>82</v>
      </c>
      <c r="H23" s="24"/>
      <c r="I23" s="13"/>
      <c r="J23" s="14"/>
      <c r="K23" s="8"/>
      <c r="L23" s="12"/>
      <c r="M23" s="12"/>
      <c r="N23" s="12"/>
      <c r="O23" s="32"/>
    </row>
    <row r="24" spans="2:15" ht="15" customHeight="1">
      <c r="B24" s="9"/>
      <c r="C24" s="9"/>
      <c r="D24" s="9"/>
      <c r="E24" s="7"/>
      <c r="F24" s="9"/>
      <c r="G24" s="12"/>
      <c r="H24" s="22"/>
      <c r="I24" s="10"/>
      <c r="J24" s="11"/>
      <c r="K24" s="8"/>
      <c r="L24" s="9"/>
      <c r="M24" s="9"/>
      <c r="N24" s="9"/>
      <c r="O24" s="34"/>
    </row>
    <row r="27" spans="2:15" ht="15" customHeight="1">
      <c r="B27" s="37"/>
    </row>
    <row r="28" spans="2:15" ht="15" customHeight="1">
      <c r="B28" s="37"/>
    </row>
  </sheetData>
  <mergeCells count="4">
    <mergeCell ref="C3:F3"/>
    <mergeCell ref="G3:H3"/>
    <mergeCell ref="C4:F4"/>
    <mergeCell ref="G4:H4"/>
  </mergeCells>
  <phoneticPr fontId="14" type="noConversion"/>
  <hyperlinks>
    <hyperlink ref="L9" r:id="rId1" display="Raspberry pi model 4b" xr:uid="{00C2CCED-652E-024C-9C7C-449DBF522A82}"/>
    <hyperlink ref="L13" r:id="rId2" display="humidity sensor" xr:uid="{79E5DAAE-0C59-8244-B391-D1FFD471854A}"/>
    <hyperlink ref="L15" r:id="rId3" xr:uid="{38FDF5A9-E637-1F47-9684-55F6CF0743ED}"/>
    <hyperlink ref="L8" r:id="rId4" xr:uid="{74396286-00D3-A94B-AB71-E9FBC1999418}"/>
    <hyperlink ref="L7" r:id="rId5" location="see-more-details" xr:uid="{B9727964-9163-5F4C-9A9B-2AA9DB1B8C55}"/>
    <hyperlink ref="L11" r:id="rId6" xr:uid="{45CF0EEF-01E4-3049-9970-FEB42EA867A1}"/>
    <hyperlink ref="L10" r:id="rId7" xr:uid="{75BF9179-CD80-674B-AE4B-6722D9506644}"/>
    <hyperlink ref="L12" r:id="rId8" xr:uid="{B7DF6E2E-D0D3-D040-A25F-1D7A317880A8}"/>
    <hyperlink ref="L14" r:id="rId9" xr:uid="{2A6487B0-DDA4-4D47-B0C2-F3792970BA8E}"/>
    <hyperlink ref="L16" r:id="rId10" xr:uid="{83AD3147-473E-DE4A-8C3F-CA5AF2D17072}"/>
    <hyperlink ref="L6" r:id="rId11" xr:uid="{EEDD419D-80CB-9C40-8F51-B58B7F844FC5}"/>
    <hyperlink ref="L17" r:id="rId12" display="Relay Module" xr:uid="{E7C3F330-259C-2C45-BD7E-83CB2A27CDDE}"/>
    <hyperlink ref="L18" r:id="rId13" location="see-more-details" display="Box Fan" xr:uid="{95C2C51B-0AD5-2B48-A912-565C73D51E04}"/>
  </hyperlinks>
  <pageMargins left="0.25" right="0.25" top="0.75" bottom="0.75" header="0.3" footer="0.3"/>
  <pageSetup orientation="landscape"/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09747-4247-47CF-BD6B-2C44D5AB9F34}">
  <dimension ref="B2:O28"/>
  <sheetViews>
    <sheetView showGridLines="0" zoomScale="88" workbookViewId="0">
      <selection activeCell="A2" sqref="A2:XFD2"/>
    </sheetView>
  </sheetViews>
  <sheetFormatPr defaultColWidth="9.140625" defaultRowHeight="15" customHeight="1"/>
  <cols>
    <col min="1" max="1" width="2.42578125" style="1" customWidth="1"/>
    <col min="2" max="2" width="25.140625" style="1" customWidth="1"/>
    <col min="3" max="3" width="15.42578125" style="1" customWidth="1"/>
    <col min="4" max="4" width="12.140625" style="1" customWidth="1"/>
    <col min="5" max="5" width="4.42578125" style="1" customWidth="1"/>
    <col min="6" max="6" width="14.42578125" style="1" customWidth="1"/>
    <col min="7" max="7" width="9" style="1" customWidth="1"/>
    <col min="8" max="8" width="10.42578125" style="3" bestFit="1" customWidth="1"/>
    <col min="9" max="9" width="15.28515625" style="3" customWidth="1"/>
    <col min="10" max="10" width="0.28515625" style="2" customWidth="1"/>
    <col min="11" max="11" width="27.42578125" style="2" customWidth="1"/>
    <col min="12" max="12" width="20" style="1" customWidth="1"/>
    <col min="13" max="13" width="10.28515625" style="1" customWidth="1"/>
    <col min="14" max="14" width="15.28515625" style="1" customWidth="1"/>
    <col min="15" max="16384" width="9.140625" style="1"/>
  </cols>
  <sheetData>
    <row r="2" spans="2:15" ht="42" hidden="1" customHeight="1">
      <c r="B2" s="5" t="s">
        <v>0</v>
      </c>
      <c r="J2" s="4"/>
      <c r="K2" s="4"/>
    </row>
    <row r="3" spans="2:15" ht="15" hidden="1" customHeight="1">
      <c r="B3" s="15" t="s">
        <v>1</v>
      </c>
      <c r="C3" s="50" t="s">
        <v>2</v>
      </c>
      <c r="D3" s="50"/>
      <c r="E3" s="50"/>
      <c r="F3" s="50"/>
      <c r="G3" s="51" t="s">
        <v>3</v>
      </c>
      <c r="H3" s="52"/>
      <c r="I3" s="18" t="s">
        <v>4</v>
      </c>
      <c r="J3" s="18"/>
      <c r="K3" s="17"/>
      <c r="L3" s="16"/>
      <c r="M3" s="16"/>
      <c r="N3" s="19" t="s">
        <v>5</v>
      </c>
    </row>
    <row r="4" spans="2:15" ht="13.5" hidden="1">
      <c r="B4" s="15" t="s">
        <v>6</v>
      </c>
      <c r="C4" s="53" t="s">
        <v>7</v>
      </c>
      <c r="D4" s="50"/>
      <c r="E4" s="50"/>
      <c r="F4" s="50"/>
      <c r="G4" s="51" t="s">
        <v>8</v>
      </c>
      <c r="H4" s="52"/>
      <c r="I4" s="23">
        <v>46059</v>
      </c>
      <c r="J4" s="25"/>
      <c r="K4" s="18" t="s">
        <v>9</v>
      </c>
      <c r="L4" s="16" t="s">
        <v>10</v>
      </c>
      <c r="M4" s="16"/>
      <c r="N4" s="20">
        <v>46062</v>
      </c>
    </row>
    <row r="5" spans="2:15" ht="33.950000000000003" customHeight="1"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21" t="s">
        <v>16</v>
      </c>
      <c r="H5" s="21" t="s">
        <v>17</v>
      </c>
      <c r="I5" s="6" t="s">
        <v>18</v>
      </c>
      <c r="J5" s="6" t="s">
        <v>19</v>
      </c>
      <c r="K5" s="6" t="s">
        <v>20</v>
      </c>
      <c r="L5" s="6" t="s">
        <v>21</v>
      </c>
      <c r="M5" s="6" t="s">
        <v>22</v>
      </c>
      <c r="N5" s="6" t="s">
        <v>23</v>
      </c>
      <c r="O5" s="6" t="s">
        <v>24</v>
      </c>
    </row>
    <row r="6" spans="2:15" ht="15" customHeight="1">
      <c r="B6" s="7" t="s">
        <v>25</v>
      </c>
      <c r="C6" s="9" t="s">
        <v>26</v>
      </c>
      <c r="D6" s="39" t="s">
        <v>27</v>
      </c>
      <c r="E6" s="12">
        <v>4</v>
      </c>
      <c r="F6" s="10" t="s">
        <v>28</v>
      </c>
      <c r="G6" s="49">
        <v>24.49</v>
      </c>
      <c r="H6" s="36">
        <f>Table1423[[#This Row],[Qty]]*Table1423[[#This Row],[Unit Cost]]</f>
        <v>97.96</v>
      </c>
      <c r="I6" s="39" t="s">
        <v>29</v>
      </c>
      <c r="J6" s="11"/>
      <c r="K6" s="40" t="s">
        <v>30</v>
      </c>
      <c r="L6" s="45" t="s">
        <v>31</v>
      </c>
      <c r="M6" s="7"/>
      <c r="N6" s="7"/>
      <c r="O6" s="33"/>
    </row>
    <row r="7" spans="2:15" ht="15" customHeight="1">
      <c r="B7" s="7" t="s">
        <v>32</v>
      </c>
      <c r="C7" s="9" t="s">
        <v>33</v>
      </c>
      <c r="D7" s="39" t="s">
        <v>34</v>
      </c>
      <c r="E7" s="29">
        <v>6</v>
      </c>
      <c r="F7" s="29" t="s">
        <v>28</v>
      </c>
      <c r="G7" s="30">
        <v>26.98</v>
      </c>
      <c r="H7" s="36">
        <f>Table1423[[#This Row],[Qty]]*Table1423[[#This Row],[Unit Cost]]</f>
        <v>161.88</v>
      </c>
      <c r="I7" s="31" t="s">
        <v>35</v>
      </c>
      <c r="J7" s="11"/>
      <c r="K7" s="39">
        <v>399582</v>
      </c>
      <c r="L7" s="46" t="s">
        <v>32</v>
      </c>
      <c r="M7" s="9"/>
      <c r="N7" s="9"/>
      <c r="O7" s="32"/>
    </row>
    <row r="8" spans="2:15" ht="15" customHeight="1">
      <c r="B8" s="7" t="s">
        <v>36</v>
      </c>
      <c r="C8" s="9" t="s">
        <v>37</v>
      </c>
      <c r="D8" s="39">
        <v>3245</v>
      </c>
      <c r="E8" s="26">
        <v>6</v>
      </c>
      <c r="F8" s="26" t="s">
        <v>28</v>
      </c>
      <c r="G8" s="27">
        <v>9.9499999999999993</v>
      </c>
      <c r="H8" s="36">
        <f>Table1423[[#This Row],[Qty]]*Table1423[[#This Row],[Unit Cost]]</f>
        <v>59.699999999999996</v>
      </c>
      <c r="I8" s="28" t="s">
        <v>29</v>
      </c>
      <c r="J8" s="11"/>
      <c r="K8" s="9" t="s">
        <v>38</v>
      </c>
      <c r="L8" s="47" t="s">
        <v>36</v>
      </c>
      <c r="M8" s="9"/>
      <c r="N8" s="9"/>
      <c r="O8" s="32"/>
    </row>
    <row r="9" spans="2:15" ht="15" customHeight="1">
      <c r="B9" s="7" t="s">
        <v>39</v>
      </c>
      <c r="C9" s="9" t="s">
        <v>40</v>
      </c>
      <c r="D9" s="39" t="s">
        <v>41</v>
      </c>
      <c r="E9" s="29">
        <v>1</v>
      </c>
      <c r="F9" s="29" t="s">
        <v>28</v>
      </c>
      <c r="G9" s="30">
        <v>75</v>
      </c>
      <c r="H9" s="36">
        <f>Table1423[[#This Row],[Qty]]*Table1423[[#This Row],[Unit Cost]]</f>
        <v>75</v>
      </c>
      <c r="I9" s="31" t="s">
        <v>29</v>
      </c>
      <c r="J9" s="11"/>
      <c r="K9" s="9" t="s">
        <v>42</v>
      </c>
      <c r="L9" s="47" t="s">
        <v>43</v>
      </c>
      <c r="M9" s="9"/>
      <c r="N9" s="9"/>
      <c r="O9" s="32"/>
    </row>
    <row r="10" spans="2:15" ht="15" customHeight="1">
      <c r="B10" s="7" t="s">
        <v>44</v>
      </c>
      <c r="C10" s="9" t="s">
        <v>45</v>
      </c>
      <c r="D10" s="39" t="s">
        <v>46</v>
      </c>
      <c r="E10" s="26">
        <v>1</v>
      </c>
      <c r="F10" s="26" t="s">
        <v>28</v>
      </c>
      <c r="G10" s="27">
        <v>86.99</v>
      </c>
      <c r="H10" s="36">
        <f>Table1423[[#This Row],[Qty]]*Table1423[[#This Row],[Unit Cost]]</f>
        <v>86.99</v>
      </c>
      <c r="I10" s="28" t="s">
        <v>47</v>
      </c>
      <c r="J10" s="11"/>
      <c r="K10" s="9" t="s">
        <v>46</v>
      </c>
      <c r="L10" s="46" t="s">
        <v>48</v>
      </c>
      <c r="M10" s="9"/>
      <c r="N10" s="9"/>
      <c r="O10" s="32"/>
    </row>
    <row r="11" spans="2:15" ht="15" customHeight="1">
      <c r="B11" s="12" t="s">
        <v>49</v>
      </c>
      <c r="C11" s="9" t="s">
        <v>50</v>
      </c>
      <c r="D11" s="39" t="s">
        <v>51</v>
      </c>
      <c r="E11" s="29">
        <v>1</v>
      </c>
      <c r="F11" s="29" t="s">
        <v>28</v>
      </c>
      <c r="G11" s="30">
        <v>269.99</v>
      </c>
      <c r="H11" s="36">
        <f>Table1423[[#This Row],[Qty]]*Table1423[[#This Row],[Unit Cost]]</f>
        <v>269.99</v>
      </c>
      <c r="I11" s="31" t="s">
        <v>52</v>
      </c>
      <c r="J11" s="11"/>
      <c r="K11" s="9" t="s">
        <v>51</v>
      </c>
      <c r="L11" s="46" t="s">
        <v>49</v>
      </c>
      <c r="M11" s="9"/>
      <c r="N11" s="9"/>
      <c r="O11" s="32"/>
    </row>
    <row r="12" spans="2:15" ht="15" customHeight="1">
      <c r="B12" s="12" t="s">
        <v>53</v>
      </c>
      <c r="C12" s="9" t="s">
        <v>54</v>
      </c>
      <c r="D12" s="39" t="s">
        <v>55</v>
      </c>
      <c r="E12" s="26">
        <v>4</v>
      </c>
      <c r="F12" s="26" t="s">
        <v>28</v>
      </c>
      <c r="G12" s="27">
        <v>11.5</v>
      </c>
      <c r="H12" s="36">
        <f>Table1423[[#This Row],[Qty]]*Table1423[[#This Row],[Unit Cost]]</f>
        <v>46</v>
      </c>
      <c r="I12" s="28" t="s">
        <v>56</v>
      </c>
      <c r="J12" s="11"/>
      <c r="K12" s="9" t="s">
        <v>57</v>
      </c>
      <c r="L12" s="46" t="s">
        <v>58</v>
      </c>
      <c r="M12" s="9"/>
      <c r="N12" s="9"/>
      <c r="O12" s="32"/>
    </row>
    <row r="13" spans="2:15" ht="15" customHeight="1">
      <c r="B13" s="12" t="s">
        <v>59</v>
      </c>
      <c r="C13" s="9" t="s">
        <v>60</v>
      </c>
      <c r="D13" s="39" t="s">
        <v>61</v>
      </c>
      <c r="E13" s="29">
        <v>1</v>
      </c>
      <c r="F13" s="29" t="s">
        <v>28</v>
      </c>
      <c r="G13" s="30">
        <v>24.95</v>
      </c>
      <c r="H13" s="36">
        <f>Table1423[[#This Row],[Qty]]*Table1423[[#This Row],[Unit Cost]]</f>
        <v>24.95</v>
      </c>
      <c r="I13" s="31" t="s">
        <v>29</v>
      </c>
      <c r="J13" s="11"/>
      <c r="K13" s="41" t="s">
        <v>62</v>
      </c>
      <c r="L13" s="47" t="s">
        <v>63</v>
      </c>
      <c r="M13" s="9"/>
      <c r="N13" s="9"/>
      <c r="O13" s="32"/>
    </row>
    <row r="14" spans="2:15" ht="15" customHeight="1">
      <c r="B14" s="12" t="s">
        <v>64</v>
      </c>
      <c r="C14" s="9" t="s">
        <v>40</v>
      </c>
      <c r="D14" s="39" t="s">
        <v>65</v>
      </c>
      <c r="E14" s="26">
        <v>1</v>
      </c>
      <c r="F14" s="26" t="s">
        <v>28</v>
      </c>
      <c r="G14" s="27">
        <v>5</v>
      </c>
      <c r="H14" s="36">
        <f>Table1423[[#This Row],[Qty]]*Table1423[[#This Row],[Unit Cost]]</f>
        <v>5</v>
      </c>
      <c r="I14" s="28" t="s">
        <v>29</v>
      </c>
      <c r="J14" s="11"/>
      <c r="K14" s="9" t="s">
        <v>66</v>
      </c>
      <c r="L14" s="46" t="s">
        <v>64</v>
      </c>
      <c r="M14" s="9"/>
      <c r="N14" s="9"/>
      <c r="O14" s="32"/>
    </row>
    <row r="15" spans="2:15" ht="15" customHeight="1">
      <c r="B15" s="12" t="s">
        <v>67</v>
      </c>
      <c r="C15" s="9" t="s">
        <v>68</v>
      </c>
      <c r="D15" s="39" t="s">
        <v>69</v>
      </c>
      <c r="E15" s="29">
        <v>1</v>
      </c>
      <c r="F15" s="29" t="s">
        <v>28</v>
      </c>
      <c r="G15" s="30">
        <v>11.87</v>
      </c>
      <c r="H15" s="36">
        <f>Table1423[[#This Row],[Qty]]*Table1423[[#This Row],[Unit Cost]]</f>
        <v>11.87</v>
      </c>
      <c r="I15" s="31" t="s">
        <v>29</v>
      </c>
      <c r="J15" s="11"/>
      <c r="K15" s="41" t="s">
        <v>70</v>
      </c>
      <c r="L15" s="47" t="s">
        <v>71</v>
      </c>
      <c r="M15" s="9"/>
      <c r="N15" s="9"/>
      <c r="O15" s="32"/>
    </row>
    <row r="16" spans="2:15" ht="15" customHeight="1">
      <c r="B16" s="12" t="s">
        <v>72</v>
      </c>
      <c r="C16" s="9" t="s">
        <v>40</v>
      </c>
      <c r="D16" s="39" t="s">
        <v>73</v>
      </c>
      <c r="E16" s="26">
        <v>1</v>
      </c>
      <c r="F16" s="26" t="s">
        <v>28</v>
      </c>
      <c r="G16" s="27">
        <v>8</v>
      </c>
      <c r="H16" s="36">
        <f>Table1423[[#This Row],[Qty]]*Table1423[[#This Row],[Unit Cost]]</f>
        <v>8</v>
      </c>
      <c r="I16" s="28" t="s">
        <v>29</v>
      </c>
      <c r="J16" s="11"/>
      <c r="K16" s="9" t="s">
        <v>74</v>
      </c>
      <c r="L16" s="46" t="s">
        <v>75</v>
      </c>
      <c r="M16" s="9"/>
      <c r="N16" s="9"/>
      <c r="O16" s="32"/>
    </row>
    <row r="17" spans="2:15" ht="15" customHeight="1">
      <c r="B17" s="7" t="s">
        <v>76</v>
      </c>
      <c r="C17" s="9" t="s">
        <v>40</v>
      </c>
      <c r="D17" s="39">
        <v>2711</v>
      </c>
      <c r="E17" s="12">
        <v>1</v>
      </c>
      <c r="F17" s="42" t="s">
        <v>28</v>
      </c>
      <c r="G17" s="36">
        <v>19.95</v>
      </c>
      <c r="H17" s="36">
        <f>Table1423[[#This Row],[Qty]]*Table1423[[#This Row],[Unit Cost]]</f>
        <v>19.95</v>
      </c>
      <c r="I17" s="9" t="s">
        <v>37</v>
      </c>
      <c r="J17" s="11"/>
      <c r="K17" s="35"/>
      <c r="L17" s="47" t="s">
        <v>76</v>
      </c>
      <c r="M17" s="9"/>
      <c r="N17" s="9"/>
      <c r="O17" s="32"/>
    </row>
    <row r="18" spans="2:15" ht="15" customHeight="1">
      <c r="B18" s="7" t="s">
        <v>77</v>
      </c>
      <c r="C18" s="9" t="s">
        <v>37</v>
      </c>
      <c r="D18" s="43">
        <v>1727</v>
      </c>
      <c r="E18" s="12">
        <v>6</v>
      </c>
      <c r="F18" s="29" t="s">
        <v>28</v>
      </c>
      <c r="G18" s="36">
        <v>14.95</v>
      </c>
      <c r="H18" s="36">
        <f>Table1423[[#This Row],[Qty]]*Table1423[[#This Row],[Unit Cost]]</f>
        <v>89.699999999999989</v>
      </c>
      <c r="I18" s="9" t="s">
        <v>37</v>
      </c>
      <c r="J18" s="11"/>
      <c r="K18" s="12" t="s">
        <v>78</v>
      </c>
      <c r="L18" s="47" t="s">
        <v>79</v>
      </c>
      <c r="M18" s="9"/>
      <c r="N18" s="9"/>
      <c r="O18" s="32"/>
    </row>
    <row r="19" spans="2:15" ht="20.100000000000001" customHeight="1">
      <c r="B19" s="7"/>
      <c r="C19" s="9"/>
      <c r="D19" s="12"/>
      <c r="E19" s="12"/>
      <c r="F19" s="29"/>
      <c r="G19" s="36"/>
      <c r="H19" s="36"/>
      <c r="I19" s="9"/>
      <c r="J19" s="11"/>
      <c r="K19" s="12"/>
      <c r="L19" s="35"/>
      <c r="M19" s="9"/>
      <c r="N19" s="9"/>
      <c r="O19" s="32"/>
    </row>
    <row r="20" spans="2:15" ht="15" customHeight="1">
      <c r="B20" s="7"/>
      <c r="C20" s="9"/>
      <c r="D20" s="9"/>
      <c r="E20" s="12"/>
      <c r="F20" s="10"/>
      <c r="G20" s="24" t="s">
        <v>80</v>
      </c>
      <c r="H20" s="44">
        <f>SUM(H6:H18)</f>
        <v>956.99</v>
      </c>
      <c r="I20" s="39"/>
      <c r="J20" s="11"/>
      <c r="K20" s="40"/>
      <c r="L20" s="38"/>
      <c r="M20" s="9"/>
      <c r="N20" s="9"/>
      <c r="O20" s="32"/>
    </row>
    <row r="21" spans="2:15" ht="15" customHeight="1">
      <c r="B21" s="9"/>
      <c r="C21" s="9"/>
      <c r="D21" s="9"/>
      <c r="E21" s="12"/>
      <c r="F21" s="9"/>
      <c r="G21" s="9"/>
      <c r="H21" s="22"/>
      <c r="I21" s="10"/>
      <c r="J21" s="11"/>
      <c r="K21" s="11"/>
      <c r="L21" s="9"/>
      <c r="M21" s="9"/>
      <c r="N21" s="9"/>
      <c r="O21" s="32"/>
    </row>
    <row r="22" spans="2:15" ht="15" customHeight="1">
      <c r="B22" s="9"/>
      <c r="C22" s="9"/>
      <c r="D22" s="9"/>
      <c r="E22" s="7"/>
      <c r="F22" s="9"/>
      <c r="G22" s="9" t="s">
        <v>81</v>
      </c>
      <c r="H22" s="48">
        <f>H20-H11-(2*26.98)-H10</f>
        <v>546.04999999999995</v>
      </c>
      <c r="I22" s="10"/>
      <c r="J22" s="11"/>
      <c r="K22" s="8"/>
      <c r="L22" s="9"/>
      <c r="M22" s="9"/>
      <c r="N22" s="9"/>
      <c r="O22" s="32"/>
    </row>
    <row r="23" spans="2:15" ht="15" customHeight="1">
      <c r="B23" s="12"/>
      <c r="C23" s="12"/>
      <c r="D23" s="12"/>
      <c r="E23" s="7"/>
      <c r="F23" s="9"/>
      <c r="G23" s="24" t="s">
        <v>82</v>
      </c>
      <c r="H23" s="24"/>
      <c r="I23" s="13"/>
      <c r="J23" s="14"/>
      <c r="K23" s="8"/>
      <c r="L23" s="12"/>
      <c r="M23" s="12"/>
      <c r="N23" s="12"/>
      <c r="O23" s="32"/>
    </row>
    <row r="24" spans="2:15" ht="15" customHeight="1">
      <c r="B24" s="9"/>
      <c r="C24" s="9"/>
      <c r="D24" s="9"/>
      <c r="E24" s="7"/>
      <c r="F24" s="9"/>
      <c r="G24" s="12"/>
      <c r="H24" s="22"/>
      <c r="I24" s="10"/>
      <c r="J24" s="11"/>
      <c r="K24" s="8"/>
      <c r="L24" s="9"/>
      <c r="M24" s="9"/>
      <c r="N24" s="9"/>
      <c r="O24" s="34"/>
    </row>
    <row r="27" spans="2:15" ht="15" customHeight="1">
      <c r="B27" s="37"/>
    </row>
    <row r="28" spans="2:15" ht="15" customHeight="1">
      <c r="B28" s="37"/>
    </row>
  </sheetData>
  <mergeCells count="4">
    <mergeCell ref="C3:F3"/>
    <mergeCell ref="G3:H3"/>
    <mergeCell ref="C4:F4"/>
    <mergeCell ref="G4:H4"/>
  </mergeCells>
  <phoneticPr fontId="14" type="noConversion"/>
  <hyperlinks>
    <hyperlink ref="L9" r:id="rId1" display="Raspberry pi model 4b" xr:uid="{3A39A9EF-ACCB-4B8F-AEF8-41FE1494C3AF}"/>
    <hyperlink ref="L13" r:id="rId2" display="humidity sensor" xr:uid="{1EB437F6-8256-43C9-B31F-B8D6D6AC47A7}"/>
    <hyperlink ref="L15" r:id="rId3" xr:uid="{35878612-BB87-417E-B557-15D9E487F69B}"/>
    <hyperlink ref="L8" r:id="rId4" xr:uid="{3A5633CF-792E-451F-86C0-8F74FF167261}"/>
    <hyperlink ref="L7" r:id="rId5" location="see-more-details" xr:uid="{EFBE4290-A28C-4831-8BE9-A3E6395D3A88}"/>
    <hyperlink ref="L11" r:id="rId6" xr:uid="{F9CA2298-2FF8-4C76-BE5D-D928C5F55397}"/>
    <hyperlink ref="L10" r:id="rId7" xr:uid="{0C084F8F-1F2D-418A-9A5E-314AFD317524}"/>
    <hyperlink ref="L12" r:id="rId8" xr:uid="{5872D76C-624A-4233-88DD-F2AE6FF0C342}"/>
    <hyperlink ref="L14" r:id="rId9" xr:uid="{2CAC810A-CA0E-42F9-9A6D-6EB211DA25A0}"/>
    <hyperlink ref="L16" r:id="rId10" xr:uid="{8AFA68D7-26C5-4B8A-8601-E4899F38E697}"/>
    <hyperlink ref="L6" r:id="rId11" xr:uid="{75EC9FD7-FEDD-42EF-A9D8-4F45CB441CFD}"/>
    <hyperlink ref="L17" r:id="rId12" display="Relay Module" xr:uid="{C8AEFD97-56C3-4A2C-A8DC-DD5BDC6D5B37}"/>
    <hyperlink ref="L18" r:id="rId13" location="see-more-details" display="Box Fan" xr:uid="{1694CBB5-5216-4387-8960-BB6A9FD0F585}"/>
  </hyperlinks>
  <pageMargins left="0.25" right="0.25" top="0.75" bottom="0.75" header="0.3" footer="0.3"/>
  <pageSetup orientation="landscape"/>
  <tableParts count="1">
    <tablePart r:id="rId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770A-862F-714E-B082-8BB5EEE62484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Modenbach, Alicia</dc:creator>
  <cp:keywords/>
  <dc:description/>
  <cp:lastModifiedBy>Myers, Anastasia L.</cp:lastModifiedBy>
  <cp:revision/>
  <dcterms:created xsi:type="dcterms:W3CDTF">2021-09-28T15:10:35Z</dcterms:created>
  <dcterms:modified xsi:type="dcterms:W3CDTF">2026-04-17T15:10:57Z</dcterms:modified>
  <cp:category/>
  <cp:contentStatus/>
</cp:coreProperties>
</file>